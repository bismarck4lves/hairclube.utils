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</workbook>
</file>

<file path=xl/sharedStrings.xml><?xml version="1.0" encoding="utf-8"?>
<sst xmlns="http://schemas.openxmlformats.org/spreadsheetml/2006/main" count="30" uniqueCount="11">
  <si>
    <t>MEDIÇÃO DE SERVIÇO</t>
  </si>
  <si>
    <t xml:space="preserve">Nome: </t>
  </si>
  <si>
    <t>Referencia: NOVEMBRO/25</t>
  </si>
  <si>
    <t>Quantidade:</t>
  </si>
  <si>
    <t>HE</t>
  </si>
  <si>
    <t>Quantidade HE:</t>
  </si>
  <si>
    <t>DIA</t>
  </si>
  <si>
    <t>QUANTIDADE DE HORAS</t>
  </si>
  <si>
    <t>ATIVIDADE</t>
  </si>
  <si>
    <t>8:00</t>
  </si>
  <si>
    <t>FERIADO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</si>
</sst>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"/>
    <numFmt numFmtId="165" formatCode="[h]:mm"/>
    <numFmt numFmtId="166" formatCode="_-* #,##0.00_-;\-* #,##0.00_-;_-* &quot;-&quot;??_-;_-@"/>
    <numFmt numFmtId="167" formatCode="_-&quot;R$&quot;\ * #,##0.00_-;\-&quot;R$&quot;\ * #,##0.00_-;_-&quot;R$&quot;\ * &quot;-&quot;??_-;_-@"/>
    <numFmt numFmtId="168" formatCode="[$-416]ddd"/>
    <numFmt numFmtId="169" formatCode="[$-F400]h:mm:ss\ AM/PM"/>
  </numFmts>
  <fonts count="10">
    <font>
      <sz val="11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Arial"/>
    </font>
    <font>
      <b/>
      <sz val="16.0"/>
      <color rgb="FF000000"/>
      <name val="Calibri"/>
    </font>
    <font/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44546A"/>
        <bgColor rgb="FF44546A"/>
      </patternFill>
    </fill>
    <fill>
      <patternFill patternType="solid">
        <fgColor rgb="FFBFBFBF"/>
        <bgColor rgb="FFBFBFBF"/>
      </patternFill>
    </fill>
  </fills>
  <borders count="13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46" xfId="0" applyAlignment="1" applyFont="1" applyNumberFormat="1">
      <alignment horizontal="center"/>
    </xf>
    <xf borderId="1" fillId="2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3" numFmtId="46" xfId="0" applyAlignment="1" applyFont="1" applyNumberForma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1" numFmtId="164" xfId="0" applyAlignment="1" applyFont="1" applyNumberFormat="1">
      <alignment horizontal="left" vertical="center"/>
    </xf>
    <xf borderId="0" fillId="0" fontId="1" numFmtId="46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7" fillId="2" fontId="1" numFmtId="0" xfId="0" applyAlignment="1" applyBorder="1" applyFont="1">
      <alignment horizontal="left" vertical="center"/>
    </xf>
    <xf borderId="8" fillId="0" fontId="4" numFmtId="0" xfId="0" applyBorder="1" applyFont="1"/>
    <xf borderId="9" fillId="2" fontId="1" numFmtId="165" xfId="0" applyAlignment="1" applyBorder="1" applyFont="1" applyNumberFormat="1">
      <alignment horizontal="center"/>
    </xf>
    <xf borderId="0" fillId="0" fontId="5" numFmtId="165" xfId="0" applyFont="1" applyNumberFormat="1"/>
    <xf borderId="0" fillId="0" fontId="6" numFmtId="46" xfId="0" applyFont="1" applyNumberFormat="1"/>
    <xf borderId="0" fillId="0" fontId="1" numFmtId="166" xfId="0" applyFont="1" applyNumberFormat="1"/>
    <xf borderId="0" fillId="0" fontId="1" numFmtId="2" xfId="0" applyAlignment="1" applyFont="1" applyNumberFormat="1">
      <alignment horizontal="center"/>
    </xf>
    <xf borderId="0" fillId="0" fontId="7" numFmtId="0" xfId="0" applyFont="1"/>
    <xf borderId="0" fillId="0" fontId="1" numFmtId="167" xfId="0" applyAlignment="1" applyFont="1" applyNumberFormat="1">
      <alignment horizontal="center"/>
    </xf>
    <xf borderId="10" fillId="3" fontId="8" numFmtId="0" xfId="0" applyAlignment="1" applyBorder="1" applyFill="1" applyFont="1">
      <alignment horizontal="center" vertical="center"/>
    </xf>
    <xf borderId="11" fillId="0" fontId="4" numFmtId="0" xfId="0" applyBorder="1" applyFont="1"/>
    <xf borderId="12" fillId="3" fontId="8" numFmtId="0" xfId="0" applyAlignment="1" applyBorder="1" applyFont="1">
      <alignment horizontal="center" shrinkToFit="0" vertical="center" wrapText="1"/>
    </xf>
    <xf borderId="12" fillId="3" fontId="8" numFmtId="0" xfId="0" applyAlignment="1" applyBorder="1" applyFont="1">
      <alignment horizontal="center" vertical="center"/>
    </xf>
    <xf borderId="12" fillId="3" fontId="9" numFmtId="0" xfId="0" applyAlignment="1" applyBorder="1" applyFont="1">
      <alignment horizontal="center" vertical="center"/>
    </xf>
    <xf borderId="12" fillId="3" fontId="9" numFmtId="46" xfId="0" applyAlignment="1" applyBorder="1" applyFont="1" applyNumberFormat="1">
      <alignment horizontal="center" shrinkToFit="0" vertical="center" wrapText="1"/>
    </xf>
    <xf borderId="12" fillId="2" fontId="1" numFmtId="16" xfId="0" applyAlignment="1" applyBorder="1" applyFont="1" applyNumberFormat="1">
      <alignment horizontal="center" vertical="center"/>
    </xf>
    <xf borderId="12" fillId="2" fontId="9" numFmtId="168" xfId="0" applyAlignment="1" applyBorder="1" applyFont="1" applyNumberFormat="1">
      <alignment horizontal="center"/>
    </xf>
    <xf borderId="12" fillId="4" fontId="1" numFmtId="169" xfId="0" applyAlignment="1" applyBorder="1" applyFill="1" applyFont="1" applyNumberFormat="1">
      <alignment horizontal="center"/>
    </xf>
    <xf borderId="12" fillId="4" fontId="1" numFmtId="49" xfId="0" applyAlignment="1" applyBorder="1" applyFont="1" applyNumberFormat="1">
      <alignment horizontal="center"/>
    </xf>
    <xf borderId="12" fillId="0" fontId="1" numFmtId="46" xfId="0" applyAlignment="1" applyBorder="1" applyFont="1" applyNumberFormat="1">
      <alignment horizontal="center"/>
    </xf>
    <xf borderId="12" fillId="0" fontId="1" numFmtId="46" xfId="0" applyAlignment="1" applyBorder="1" applyFont="1" applyNumberFormat="1">
      <alignment horizontal="center" readingOrder="0"/>
    </xf>
    <xf borderId="12" fillId="0" fontId="9" numFmtId="168" xfId="0" applyAlignment="1" applyBorder="1" applyFont="1" applyNumberFormat="1">
      <alignment horizontal="center"/>
    </xf>
    <xf borderId="12" fillId="0" fontId="1" numFmtId="49" xfId="0" applyAlignment="1" applyBorder="1" applyFont="1" applyNumberFormat="1">
      <alignment horizontal="center"/>
    </xf>
    <xf borderId="12" fillId="0" fontId="1" numFmtId="169" xfId="0" applyAlignment="1" applyBorder="1" applyFont="1" applyNumberFormat="1">
      <alignment horizontal="center"/>
    </xf>
    <xf borderId="12" fillId="4" fontId="1" numFmtId="46" xfId="0" applyAlignment="1" applyBorder="1" applyFont="1" applyNumberFormat="1">
      <alignment horizontal="center"/>
    </xf>
    <xf borderId="12" fillId="4" fontId="1" numFmtId="46" xfId="0" applyAlignment="1" applyBorder="1" applyFont="1" applyNumberFormat="1">
      <alignment horizontal="center" readingOrder="0"/>
    </xf>
    <xf borderId="12" fillId="4" fontId="9" numFmtId="169" xfId="0" applyAlignment="1" applyBorder="1" applyFont="1" applyNumberFormat="1">
      <alignment horizontal="center"/>
    </xf>
    <xf borderId="0" fillId="0" fontId="2" numFmtId="4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6.5"/>
    <col customWidth="1" min="3" max="3" width="7.5"/>
    <col customWidth="1" min="4" max="4" width="20.13"/>
    <col customWidth="1" min="5" max="5" width="46.13"/>
    <col customWidth="1" min="6" max="7" width="21.88"/>
    <col customWidth="1" min="8" max="9" width="9.63"/>
    <col customWidth="1" min="10" max="11" width="9.13"/>
  </cols>
  <sheetData>
    <row r="1" ht="14.25" customHeight="1">
      <c r="A1" s="1"/>
      <c r="B1" s="1"/>
      <c r="C1" s="2"/>
      <c r="D1" s="1"/>
      <c r="E1" s="1"/>
      <c r="F1" s="1"/>
      <c r="G1" s="3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4" t="s">
        <v>0</v>
      </c>
      <c r="C2" s="5"/>
      <c r="D2" s="6"/>
      <c r="E2" s="1"/>
      <c r="F2" s="1"/>
      <c r="G2" s="7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8"/>
      <c r="C3" s="9"/>
      <c r="D3" s="10"/>
      <c r="E3" s="1"/>
      <c r="F3" s="1"/>
      <c r="G3" s="7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11" t="s">
        <v>1</v>
      </c>
      <c r="E4" s="1"/>
      <c r="F4" s="1"/>
      <c r="G4" s="12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/>
      <c r="B5" s="13" t="s">
        <v>2</v>
      </c>
      <c r="E5" s="1"/>
      <c r="F5" s="1"/>
      <c r="G5" s="12"/>
      <c r="H5" s="1"/>
      <c r="I5" s="1"/>
      <c r="J5" s="1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/>
      <c r="B6" s="14" t="s">
        <v>3</v>
      </c>
      <c r="C6" s="15"/>
      <c r="D6" s="16">
        <f>SUM(D11:D41)</f>
        <v>8.333333333</v>
      </c>
      <c r="E6" s="17"/>
      <c r="F6" s="18"/>
      <c r="G6" s="3"/>
      <c r="H6" s="19"/>
      <c r="I6" s="20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/>
      <c r="B7" s="14" t="s">
        <v>4</v>
      </c>
      <c r="C7" s="15"/>
      <c r="D7" s="16" t="str">
        <f>IF(D6 &gt;= (160.01/24), "SIM", "NÃO")</f>
        <v>SIM</v>
      </c>
      <c r="E7" s="21"/>
      <c r="F7" s="21"/>
      <c r="G7" s="3"/>
      <c r="H7" s="1"/>
      <c r="I7" s="22"/>
      <c r="J7" s="1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/>
      <c r="B8" s="14" t="s">
        <v>5</v>
      </c>
      <c r="C8" s="15"/>
      <c r="D8" s="16">
        <f>IF(SUM(G11:G40)&gt;0,SUM(G11:G40),0)</f>
        <v>1.666666667</v>
      </c>
      <c r="E8" s="21"/>
      <c r="F8" s="21"/>
      <c r="G8" s="3"/>
      <c r="H8" s="1"/>
      <c r="I8" s="22"/>
      <c r="J8" s="1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/>
      <c r="B9" s="1"/>
      <c r="C9" s="1"/>
      <c r="D9" s="2"/>
      <c r="E9" s="1"/>
      <c r="F9" s="1"/>
      <c r="G9" s="3"/>
      <c r="H9" s="1"/>
      <c r="I9" s="1"/>
      <c r="J9" s="1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/>
      <c r="B10" s="23" t="s">
        <v>6</v>
      </c>
      <c r="C10" s="24"/>
      <c r="D10" s="25" t="s">
        <v>7</v>
      </c>
      <c r="E10" s="26" t="s">
        <v>8</v>
      </c>
      <c r="F10" s="27"/>
      <c r="G10" s="28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/>
      <c r="B11" s="29">
        <v>45955.0</v>
      </c>
      <c r="C11" s="30">
        <f t="shared" ref="C11:C41" si="1">IF(B11=" ", " ",B11)</f>
        <v>45955</v>
      </c>
      <c r="D11" s="31"/>
      <c r="E11" s="31"/>
      <c r="F11" s="32"/>
      <c r="G11" s="33">
        <f t="shared" ref="G11:G40" si="2">D11-F11</f>
        <v>0</v>
      </c>
      <c r="H11" s="1"/>
      <c r="I11" s="1"/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/>
      <c r="B12" s="29">
        <v>45956.0</v>
      </c>
      <c r="C12" s="30">
        <f t="shared" si="1"/>
        <v>45956</v>
      </c>
      <c r="D12" s="31"/>
      <c r="E12" s="31"/>
      <c r="F12" s="32"/>
      <c r="G12" s="33">
        <f t="shared" si="2"/>
        <v>0</v>
      </c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/>
      <c r="B13" s="29">
        <v>45957.0</v>
      </c>
      <c r="C13" s="30">
        <f t="shared" si="1"/>
        <v>45957</v>
      </c>
      <c r="D13" s="34">
        <v>0.5416666666666666</v>
      </c>
      <c r="E13" s="35"/>
      <c r="F13" s="36" t="s">
        <v>9</v>
      </c>
      <c r="G13" s="33">
        <f t="shared" si="2"/>
        <v>0.2083333333</v>
      </c>
      <c r="H13" s="1"/>
      <c r="I13" s="1"/>
      <c r="J13" s="1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/>
      <c r="B14" s="29">
        <v>45958.0</v>
      </c>
      <c r="C14" s="30">
        <f t="shared" si="1"/>
        <v>45958</v>
      </c>
      <c r="D14" s="34">
        <v>0.4166666666666667</v>
      </c>
      <c r="E14" s="35"/>
      <c r="F14" s="36" t="s">
        <v>9</v>
      </c>
      <c r="G14" s="33">
        <f t="shared" si="2"/>
        <v>0.08333333333</v>
      </c>
      <c r="H14" s="1"/>
      <c r="I14" s="1"/>
      <c r="J14" s="1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/>
      <c r="B15" s="29">
        <v>45959.0</v>
      </c>
      <c r="C15" s="30">
        <f t="shared" si="1"/>
        <v>45959</v>
      </c>
      <c r="D15" s="34">
        <v>0.4166666666666667</v>
      </c>
      <c r="E15" s="37"/>
      <c r="F15" s="36" t="s">
        <v>9</v>
      </c>
      <c r="G15" s="33">
        <f t="shared" si="2"/>
        <v>0.08333333333</v>
      </c>
      <c r="H15" s="1"/>
      <c r="I15" s="1"/>
      <c r="J15" s="1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/>
      <c r="B16" s="29">
        <v>45960.0</v>
      </c>
      <c r="C16" s="30">
        <f t="shared" si="1"/>
        <v>45960</v>
      </c>
      <c r="D16" s="34">
        <v>0.4166666666666667</v>
      </c>
      <c r="E16" s="36"/>
      <c r="F16" s="36" t="s">
        <v>9</v>
      </c>
      <c r="G16" s="33">
        <f t="shared" si="2"/>
        <v>0.08333333333</v>
      </c>
      <c r="H16" s="1"/>
      <c r="I16" s="1"/>
      <c r="J16" s="1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/>
      <c r="B17" s="29">
        <v>45961.0</v>
      </c>
      <c r="C17" s="30">
        <f t="shared" si="1"/>
        <v>45961</v>
      </c>
      <c r="D17" s="34">
        <v>0.4166666666666667</v>
      </c>
      <c r="E17" s="36"/>
      <c r="F17" s="36" t="s">
        <v>9</v>
      </c>
      <c r="G17" s="33">
        <f t="shared" si="2"/>
        <v>0.08333333333</v>
      </c>
      <c r="H17" s="1"/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/>
      <c r="B18" s="29">
        <v>45962.0</v>
      </c>
      <c r="C18" s="30">
        <f t="shared" si="1"/>
        <v>45962</v>
      </c>
      <c r="D18" s="38"/>
      <c r="E18" s="31"/>
      <c r="F18" s="32"/>
      <c r="G18" s="33">
        <f t="shared" si="2"/>
        <v>0</v>
      </c>
      <c r="H18" s="1"/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/>
      <c r="B19" s="29">
        <v>45963.0</v>
      </c>
      <c r="C19" s="30">
        <f t="shared" si="1"/>
        <v>45963</v>
      </c>
      <c r="D19" s="38"/>
      <c r="E19" s="31"/>
      <c r="F19" s="32"/>
      <c r="G19" s="33">
        <f t="shared" si="2"/>
        <v>0</v>
      </c>
      <c r="H19" s="1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/>
      <c r="B20" s="29">
        <v>45964.0</v>
      </c>
      <c r="C20" s="30">
        <f t="shared" si="1"/>
        <v>45964</v>
      </c>
      <c r="D20" s="34">
        <v>0.5416666666666666</v>
      </c>
      <c r="E20" s="35"/>
      <c r="F20" s="36" t="s">
        <v>9</v>
      </c>
      <c r="G20" s="33">
        <f t="shared" si="2"/>
        <v>0.2083333333</v>
      </c>
      <c r="H20" s="1"/>
      <c r="I20" s="1"/>
      <c r="J20" s="1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/>
      <c r="B21" s="29">
        <v>45965.0</v>
      </c>
      <c r="C21" s="30">
        <f t="shared" si="1"/>
        <v>45965</v>
      </c>
      <c r="D21" s="34">
        <v>0.375</v>
      </c>
      <c r="E21" s="35"/>
      <c r="F21" s="36" t="s">
        <v>9</v>
      </c>
      <c r="G21" s="33">
        <f t="shared" si="2"/>
        <v>0.04166666667</v>
      </c>
      <c r="H21" s="1"/>
      <c r="I21" s="1"/>
      <c r="J21" s="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/>
      <c r="B22" s="29">
        <v>45966.0</v>
      </c>
      <c r="C22" s="30">
        <f t="shared" si="1"/>
        <v>45966</v>
      </c>
      <c r="D22" s="34">
        <v>0.5833333333333334</v>
      </c>
      <c r="E22" s="36"/>
      <c r="F22" s="36" t="s">
        <v>9</v>
      </c>
      <c r="G22" s="33">
        <f t="shared" si="2"/>
        <v>0.25</v>
      </c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/>
      <c r="B23" s="29">
        <v>45967.0</v>
      </c>
      <c r="C23" s="30">
        <f t="shared" si="1"/>
        <v>45967</v>
      </c>
      <c r="D23" s="34">
        <v>0.3333333333333333</v>
      </c>
      <c r="E23" s="36"/>
      <c r="F23" s="36" t="s">
        <v>9</v>
      </c>
      <c r="G23" s="33">
        <f t="shared" si="2"/>
        <v>0</v>
      </c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/>
      <c r="B24" s="29">
        <v>45968.0</v>
      </c>
      <c r="C24" s="30">
        <f t="shared" si="1"/>
        <v>45968</v>
      </c>
      <c r="D24" s="34">
        <v>0.4583333333333333</v>
      </c>
      <c r="E24" s="36"/>
      <c r="F24" s="36" t="s">
        <v>9</v>
      </c>
      <c r="G24" s="33">
        <f t="shared" si="2"/>
        <v>0.125</v>
      </c>
      <c r="H24" s="1"/>
      <c r="I24" s="1"/>
      <c r="J24" s="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/>
      <c r="B25" s="29">
        <v>45969.0</v>
      </c>
      <c r="C25" s="30">
        <f t="shared" si="1"/>
        <v>45969</v>
      </c>
      <c r="D25" s="39">
        <v>0.16666666666666666</v>
      </c>
      <c r="E25" s="31"/>
      <c r="F25" s="32"/>
      <c r="G25" s="33">
        <f t="shared" si="2"/>
        <v>0.1666666667</v>
      </c>
      <c r="H25" s="1"/>
      <c r="I25" s="1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"/>
      <c r="B26" s="29">
        <v>45970.0</v>
      </c>
      <c r="C26" s="30">
        <f t="shared" si="1"/>
        <v>45970</v>
      </c>
      <c r="D26" s="39">
        <v>0.3333333333333333</v>
      </c>
      <c r="E26" s="31"/>
      <c r="F26" s="32"/>
      <c r="G26" s="33">
        <f t="shared" si="2"/>
        <v>0.3333333333</v>
      </c>
      <c r="H26" s="1"/>
      <c r="I26" s="1"/>
      <c r="J26" s="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"/>
      <c r="B27" s="29">
        <v>45971.0</v>
      </c>
      <c r="C27" s="30">
        <f t="shared" si="1"/>
        <v>45971</v>
      </c>
      <c r="D27" s="34">
        <v>0.3333333333333333</v>
      </c>
      <c r="E27" s="35"/>
      <c r="F27" s="36" t="s">
        <v>9</v>
      </c>
      <c r="G27" s="33">
        <f t="shared" si="2"/>
        <v>0</v>
      </c>
      <c r="H27" s="1"/>
      <c r="I27" s="1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"/>
      <c r="B28" s="29">
        <v>45972.0</v>
      </c>
      <c r="C28" s="30">
        <f t="shared" si="1"/>
        <v>45972</v>
      </c>
      <c r="D28" s="34">
        <v>0.3333333333333333</v>
      </c>
      <c r="E28" s="35"/>
      <c r="F28" s="36" t="s">
        <v>9</v>
      </c>
      <c r="G28" s="33">
        <f t="shared" si="2"/>
        <v>0</v>
      </c>
      <c r="H28" s="1"/>
      <c r="I28" s="1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/>
      <c r="B29" s="29">
        <v>45973.0</v>
      </c>
      <c r="C29" s="30">
        <f t="shared" si="1"/>
        <v>45973</v>
      </c>
      <c r="D29" s="34">
        <v>0.3333333333333333</v>
      </c>
      <c r="E29" s="36"/>
      <c r="F29" s="36" t="s">
        <v>9</v>
      </c>
      <c r="G29" s="33">
        <f t="shared" si="2"/>
        <v>0</v>
      </c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"/>
      <c r="B30" s="29">
        <v>45974.0</v>
      </c>
      <c r="C30" s="30">
        <f t="shared" si="1"/>
        <v>45974</v>
      </c>
      <c r="D30" s="34">
        <v>0.3333333333333333</v>
      </c>
      <c r="E30" s="36"/>
      <c r="F30" s="36" t="s">
        <v>9</v>
      </c>
      <c r="G30" s="33">
        <f t="shared" si="2"/>
        <v>0</v>
      </c>
      <c r="H30" s="1"/>
      <c r="I30" s="1"/>
      <c r="J30" s="1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/>
      <c r="B31" s="29">
        <v>45975.0</v>
      </c>
      <c r="C31" s="30">
        <f t="shared" si="1"/>
        <v>45975</v>
      </c>
      <c r="D31" s="34">
        <v>0.3333333333333333</v>
      </c>
      <c r="E31" s="36"/>
      <c r="F31" s="36" t="s">
        <v>9</v>
      </c>
      <c r="G31" s="33">
        <f t="shared" si="2"/>
        <v>0</v>
      </c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"/>
      <c r="B32" s="29">
        <v>45976.0</v>
      </c>
      <c r="C32" s="30">
        <f t="shared" si="1"/>
        <v>45976</v>
      </c>
      <c r="D32" s="38"/>
      <c r="E32" s="31"/>
      <c r="F32" s="32"/>
      <c r="G32" s="33">
        <f t="shared" si="2"/>
        <v>0</v>
      </c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"/>
      <c r="B33" s="29">
        <v>45977.0</v>
      </c>
      <c r="C33" s="30">
        <f t="shared" si="1"/>
        <v>45977</v>
      </c>
      <c r="D33" s="38"/>
      <c r="E33" s="31"/>
      <c r="F33" s="32"/>
      <c r="G33" s="33">
        <f t="shared" si="2"/>
        <v>0</v>
      </c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"/>
      <c r="B34" s="29">
        <v>45978.0</v>
      </c>
      <c r="C34" s="30">
        <f t="shared" si="1"/>
        <v>45978</v>
      </c>
      <c r="D34" s="34">
        <v>0.3333333333333333</v>
      </c>
      <c r="E34" s="35"/>
      <c r="F34" s="36" t="s">
        <v>9</v>
      </c>
      <c r="G34" s="33">
        <f t="shared" si="2"/>
        <v>0</v>
      </c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"/>
      <c r="B35" s="29">
        <v>45979.0</v>
      </c>
      <c r="C35" s="30">
        <f t="shared" si="1"/>
        <v>45979</v>
      </c>
      <c r="D35" s="34">
        <v>0.3333333333333333</v>
      </c>
      <c r="E35" s="35"/>
      <c r="F35" s="36" t="s">
        <v>9</v>
      </c>
      <c r="G35" s="33">
        <f t="shared" si="2"/>
        <v>0</v>
      </c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"/>
      <c r="B36" s="29">
        <v>45980.0</v>
      </c>
      <c r="C36" s="30">
        <f t="shared" si="1"/>
        <v>45980</v>
      </c>
      <c r="D36" s="34">
        <v>0.3333333333333333</v>
      </c>
      <c r="E36" s="37"/>
      <c r="F36" s="36" t="s">
        <v>9</v>
      </c>
      <c r="G36" s="33">
        <f t="shared" si="2"/>
        <v>0</v>
      </c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"/>
      <c r="B37" s="29">
        <v>45981.0</v>
      </c>
      <c r="C37" s="30">
        <f t="shared" si="1"/>
        <v>45981</v>
      </c>
      <c r="D37" s="38"/>
      <c r="E37" s="40" t="s">
        <v>10</v>
      </c>
      <c r="F37" s="32"/>
      <c r="G37" s="33">
        <f t="shared" si="2"/>
        <v>0</v>
      </c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"/>
      <c r="B38" s="29">
        <v>45982.0</v>
      </c>
      <c r="C38" s="30">
        <f t="shared" si="1"/>
        <v>45982</v>
      </c>
      <c r="D38" s="34">
        <v>0.3333333333333333</v>
      </c>
      <c r="E38" s="36"/>
      <c r="F38" s="36" t="s">
        <v>9</v>
      </c>
      <c r="G38" s="33">
        <f t="shared" si="2"/>
        <v>0</v>
      </c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"/>
      <c r="B39" s="29">
        <v>45983.0</v>
      </c>
      <c r="C39" s="30">
        <f t="shared" si="1"/>
        <v>45983</v>
      </c>
      <c r="D39" s="38"/>
      <c r="E39" s="31"/>
      <c r="F39" s="32"/>
      <c r="G39" s="33">
        <f t="shared" si="2"/>
        <v>0</v>
      </c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"/>
      <c r="B40" s="29">
        <v>45984.0</v>
      </c>
      <c r="C40" s="30">
        <f t="shared" si="1"/>
        <v>45984</v>
      </c>
      <c r="D40" s="38"/>
      <c r="E40" s="31"/>
      <c r="F40" s="32"/>
      <c r="G40" s="33">
        <f t="shared" si="2"/>
        <v>0</v>
      </c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"/>
      <c r="B41" s="29">
        <v>45985.0</v>
      </c>
      <c r="C41" s="30">
        <f t="shared" si="1"/>
        <v>45985</v>
      </c>
      <c r="D41" s="34">
        <v>0.3333333333333333</v>
      </c>
      <c r="E41" s="36"/>
      <c r="F41" s="36" t="s">
        <v>9</v>
      </c>
      <c r="G41" s="33" t="str">
        <f>#REF!-F41</f>
        <v>#REF!</v>
      </c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"/>
      <c r="B42" s="1"/>
      <c r="C42" s="1"/>
      <c r="E42" s="1"/>
      <c r="F42" s="1"/>
      <c r="G42" s="3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"/>
      <c r="B43" s="1"/>
      <c r="C43" s="1"/>
      <c r="D43" s="1"/>
      <c r="E43" s="1"/>
      <c r="F43" s="1"/>
      <c r="G43" s="3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"/>
      <c r="B44" s="1"/>
      <c r="C44" s="1"/>
      <c r="D44" s="1"/>
      <c r="E44" s="1"/>
      <c r="F44" s="1"/>
      <c r="G44" s="3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"/>
      <c r="B45" s="1"/>
      <c r="C45" s="1"/>
      <c r="D45" s="1"/>
      <c r="E45" s="1"/>
      <c r="F45" s="1"/>
      <c r="G45" s="3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"/>
      <c r="B46" s="1"/>
      <c r="C46" s="1"/>
      <c r="D46" s="1"/>
      <c r="E46" s="1"/>
      <c r="F46" s="1"/>
      <c r="G46" s="3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"/>
      <c r="B47" s="1"/>
      <c r="C47" s="1"/>
      <c r="D47" s="1"/>
      <c r="E47" s="1"/>
      <c r="F47" s="1"/>
      <c r="G47" s="3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"/>
      <c r="B48" s="1"/>
      <c r="C48" s="1"/>
      <c r="D48" s="1"/>
      <c r="E48" s="1"/>
      <c r="F48" s="1"/>
      <c r="G48" s="3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"/>
      <c r="B49" s="1"/>
      <c r="C49" s="1"/>
      <c r="D49" s="1"/>
      <c r="E49" s="1"/>
      <c r="F49" s="1"/>
      <c r="G49" s="3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"/>
      <c r="B50" s="1"/>
      <c r="C50" s="1"/>
      <c r="D50" s="1"/>
      <c r="E50" s="1"/>
      <c r="F50" s="1"/>
      <c r="G50" s="3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"/>
      <c r="B51" s="1"/>
      <c r="C51" s="1"/>
      <c r="D51" s="1"/>
      <c r="E51" s="1"/>
      <c r="F51" s="1"/>
      <c r="G51" s="3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"/>
      <c r="B52" s="1"/>
      <c r="C52" s="1"/>
      <c r="D52" s="1"/>
      <c r="E52" s="1"/>
      <c r="F52" s="1"/>
      <c r="G52" s="3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"/>
      <c r="B53" s="1"/>
      <c r="C53" s="1"/>
      <c r="D53" s="1"/>
      <c r="E53" s="1"/>
      <c r="F53" s="1"/>
      <c r="G53" s="3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"/>
      <c r="B54" s="1"/>
      <c r="C54" s="1"/>
      <c r="D54" s="1"/>
      <c r="E54" s="1"/>
      <c r="F54" s="1"/>
      <c r="G54" s="3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"/>
      <c r="B55" s="1"/>
      <c r="C55" s="1"/>
      <c r="D55" s="1"/>
      <c r="E55" s="1"/>
      <c r="F55" s="1"/>
      <c r="G55" s="3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"/>
      <c r="B56" s="1"/>
      <c r="C56" s="1"/>
      <c r="D56" s="1"/>
      <c r="E56" s="1"/>
      <c r="F56" s="1"/>
      <c r="G56" s="3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"/>
      <c r="B57" s="1"/>
      <c r="C57" s="1"/>
      <c r="D57" s="1"/>
      <c r="E57" s="1"/>
      <c r="F57" s="1"/>
      <c r="G57" s="3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"/>
      <c r="B58" s="1"/>
      <c r="C58" s="1"/>
      <c r="D58" s="1"/>
      <c r="E58" s="1"/>
      <c r="F58" s="1"/>
      <c r="G58" s="3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"/>
      <c r="B59" s="1"/>
      <c r="C59" s="1"/>
      <c r="D59" s="1"/>
      <c r="E59" s="1"/>
      <c r="F59" s="1"/>
      <c r="G59" s="3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"/>
      <c r="B60" s="1"/>
      <c r="C60" s="1"/>
      <c r="D60" s="1"/>
      <c r="E60" s="1"/>
      <c r="F60" s="1"/>
      <c r="G60" s="3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"/>
      <c r="B61" s="1"/>
      <c r="C61" s="1"/>
      <c r="D61" s="1"/>
      <c r="E61" s="1"/>
      <c r="F61" s="1"/>
      <c r="G61" s="3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"/>
      <c r="B62" s="1"/>
      <c r="C62" s="1"/>
      <c r="D62" s="1"/>
      <c r="E62" s="1"/>
      <c r="F62" s="1"/>
      <c r="G62" s="3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"/>
      <c r="B63" s="1"/>
      <c r="C63" s="1"/>
      <c r="D63" s="1"/>
      <c r="E63" s="1"/>
      <c r="F63" s="1"/>
      <c r="G63" s="3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"/>
      <c r="B64" s="1"/>
      <c r="C64" s="1"/>
      <c r="D64" s="1"/>
      <c r="E64" s="1"/>
      <c r="F64" s="1"/>
      <c r="G64" s="3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"/>
      <c r="B65" s="1"/>
      <c r="C65" s="1"/>
      <c r="D65" s="1"/>
      <c r="E65" s="1"/>
      <c r="F65" s="1"/>
      <c r="G65" s="3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"/>
      <c r="B66" s="1"/>
      <c r="C66" s="1"/>
      <c r="D66" s="1"/>
      <c r="E66" s="1"/>
      <c r="F66" s="1"/>
      <c r="G66" s="3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1"/>
      <c r="B67" s="1"/>
      <c r="C67" s="1"/>
      <c r="D67" s="1"/>
      <c r="E67" s="1"/>
      <c r="F67" s="1"/>
      <c r="G67" s="3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1"/>
      <c r="B68" s="1"/>
      <c r="C68" s="1"/>
      <c r="D68" s="1"/>
      <c r="E68" s="1"/>
      <c r="F68" s="1"/>
      <c r="G68" s="3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"/>
      <c r="B69" s="1"/>
      <c r="C69" s="1"/>
      <c r="D69" s="1"/>
      <c r="E69" s="1"/>
      <c r="F69" s="1"/>
      <c r="G69" s="3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"/>
      <c r="B70" s="1"/>
      <c r="C70" s="1"/>
      <c r="D70" s="1"/>
      <c r="E70" s="1"/>
      <c r="F70" s="1"/>
      <c r="G70" s="3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"/>
      <c r="B71" s="1"/>
      <c r="C71" s="1"/>
      <c r="D71" s="1"/>
      <c r="E71" s="1"/>
      <c r="F71" s="1"/>
      <c r="G71" s="3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"/>
      <c r="B72" s="1"/>
      <c r="C72" s="1"/>
      <c r="D72" s="1"/>
      <c r="E72" s="1"/>
      <c r="F72" s="1"/>
      <c r="G72" s="3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"/>
      <c r="B73" s="1"/>
      <c r="C73" s="1"/>
      <c r="D73" s="1"/>
      <c r="E73" s="1"/>
      <c r="F73" s="1"/>
      <c r="G73" s="3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"/>
      <c r="B74" s="1"/>
      <c r="C74" s="1"/>
      <c r="D74" s="1"/>
      <c r="E74" s="1"/>
      <c r="F74" s="1"/>
      <c r="G74" s="3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"/>
      <c r="B75" s="1"/>
      <c r="C75" s="1"/>
      <c r="D75" s="1"/>
      <c r="E75" s="1"/>
      <c r="F75" s="1"/>
      <c r="G75" s="3"/>
      <c r="H75" s="1"/>
      <c r="I75" s="1"/>
      <c r="J75" s="1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"/>
      <c r="B76" s="1"/>
      <c r="C76" s="1"/>
      <c r="D76" s="1"/>
      <c r="E76" s="1"/>
      <c r="F76" s="1"/>
      <c r="G76" s="3"/>
      <c r="H76" s="1"/>
      <c r="I76" s="1"/>
      <c r="J76" s="1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"/>
      <c r="B77" s="1"/>
      <c r="C77" s="1"/>
      <c r="D77" s="1"/>
      <c r="E77" s="1"/>
      <c r="F77" s="1"/>
      <c r="G77" s="3"/>
      <c r="H77" s="1"/>
      <c r="I77" s="1"/>
      <c r="J77" s="1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"/>
      <c r="B78" s="1"/>
      <c r="C78" s="1"/>
      <c r="D78" s="1"/>
      <c r="E78" s="1"/>
      <c r="F78" s="1"/>
      <c r="G78" s="3"/>
      <c r="H78" s="1"/>
      <c r="I78" s="1"/>
      <c r="J78" s="1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"/>
      <c r="B79" s="1"/>
      <c r="C79" s="1"/>
      <c r="D79" s="1"/>
      <c r="E79" s="1"/>
      <c r="F79" s="1"/>
      <c r="G79" s="3"/>
      <c r="H79" s="1"/>
      <c r="I79" s="1"/>
      <c r="J79" s="1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"/>
      <c r="B80" s="1"/>
      <c r="C80" s="1"/>
      <c r="D80" s="1"/>
      <c r="E80" s="1"/>
      <c r="F80" s="1"/>
      <c r="G80" s="3"/>
      <c r="H80" s="1"/>
      <c r="I80" s="1"/>
      <c r="J80" s="1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"/>
      <c r="B81" s="1"/>
      <c r="C81" s="1"/>
      <c r="D81" s="1"/>
      <c r="E81" s="1"/>
      <c r="F81" s="1"/>
      <c r="G81" s="3"/>
      <c r="H81" s="1"/>
      <c r="I81" s="1"/>
      <c r="J81" s="1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"/>
      <c r="B82" s="1"/>
      <c r="C82" s="1"/>
      <c r="D82" s="1"/>
      <c r="E82" s="1"/>
      <c r="F82" s="1"/>
      <c r="G82" s="3"/>
      <c r="H82" s="1"/>
      <c r="I82" s="1"/>
      <c r="J82" s="1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"/>
      <c r="B83" s="1"/>
      <c r="C83" s="1"/>
      <c r="D83" s="1"/>
      <c r="E83" s="1"/>
      <c r="F83" s="1"/>
      <c r="G83" s="3"/>
      <c r="H83" s="1"/>
      <c r="I83" s="1"/>
      <c r="J83" s="1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"/>
      <c r="B84" s="1"/>
      <c r="C84" s="1"/>
      <c r="D84" s="1"/>
      <c r="E84" s="1"/>
      <c r="F84" s="1"/>
      <c r="G84" s="3"/>
      <c r="H84" s="1"/>
      <c r="I84" s="1"/>
      <c r="J84" s="1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"/>
      <c r="B85" s="1"/>
      <c r="C85" s="1"/>
      <c r="D85" s="1"/>
      <c r="E85" s="1"/>
      <c r="F85" s="1"/>
      <c r="G85" s="3"/>
      <c r="H85" s="1"/>
      <c r="I85" s="1"/>
      <c r="J85" s="1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"/>
      <c r="B86" s="1"/>
      <c r="C86" s="1"/>
      <c r="D86" s="1"/>
      <c r="E86" s="1"/>
      <c r="F86" s="1"/>
      <c r="G86" s="3"/>
      <c r="H86" s="1"/>
      <c r="I86" s="1"/>
      <c r="J86" s="1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"/>
      <c r="B87" s="1"/>
      <c r="C87" s="1"/>
      <c r="D87" s="1"/>
      <c r="E87" s="1"/>
      <c r="F87" s="1"/>
      <c r="G87" s="3"/>
      <c r="H87" s="1"/>
      <c r="I87" s="1"/>
      <c r="J87" s="1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"/>
      <c r="B88" s="1"/>
      <c r="C88" s="1"/>
      <c r="D88" s="1"/>
      <c r="E88" s="1"/>
      <c r="F88" s="1"/>
      <c r="G88" s="3"/>
      <c r="H88" s="1"/>
      <c r="I88" s="1"/>
      <c r="J88" s="1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"/>
      <c r="B89" s="1"/>
      <c r="C89" s="1"/>
      <c r="D89" s="1"/>
      <c r="E89" s="1"/>
      <c r="F89" s="1"/>
      <c r="G89" s="3"/>
      <c r="H89" s="1"/>
      <c r="I89" s="1"/>
      <c r="J89" s="1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"/>
      <c r="B90" s="1"/>
      <c r="C90" s="1"/>
      <c r="D90" s="1"/>
      <c r="E90" s="1"/>
      <c r="F90" s="1"/>
      <c r="G90" s="3"/>
      <c r="H90" s="1"/>
      <c r="I90" s="1"/>
      <c r="J90" s="1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4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4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4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4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4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4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4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4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4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4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4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4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4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4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4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4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4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4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4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4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4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4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4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4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4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4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4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4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4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4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4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4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4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4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4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4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4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4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4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4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4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4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4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4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4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4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4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4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4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4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4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4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4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4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4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4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4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4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4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4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4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4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4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4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4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4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4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4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4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4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4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4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4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4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4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4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4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4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4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4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4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4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4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4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4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4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4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4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4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4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4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4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4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4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4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4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4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4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4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4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4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4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4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4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4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4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4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4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4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4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4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4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4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4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4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4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4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4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4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4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4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4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4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4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4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4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4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4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4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4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4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4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4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4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4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4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4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4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4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4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4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4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4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4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4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4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4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4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4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4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4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4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4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4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4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4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4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4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4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4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4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4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4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4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4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4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4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4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4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4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4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4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4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4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4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4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4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4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4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4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4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4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4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4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4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4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4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4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4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4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4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4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4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4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4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4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4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4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4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4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4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4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4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4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4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4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4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4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4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4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4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4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4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4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4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4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4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4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4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4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4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4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4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4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4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4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4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4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4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4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4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4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4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4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4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4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4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4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4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4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4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4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4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4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4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4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4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4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4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4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4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4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4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4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4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4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4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4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4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4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4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4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4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4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4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4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4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4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4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4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4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4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4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4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4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4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4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4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4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4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4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4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4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4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4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4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4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4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4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4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4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4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4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4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4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4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4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4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4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4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4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4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4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4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4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4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4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4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4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4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4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4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4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4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4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4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4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4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4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4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4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4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4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4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4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4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4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4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4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4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4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4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4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4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4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4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4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4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4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4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4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4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4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4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4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4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4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4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4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4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4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4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4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4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4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4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4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4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4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4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4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4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4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4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4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4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4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4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4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4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4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4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4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4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4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4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4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4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4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4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4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4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4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4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4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4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4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4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4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4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4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4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4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4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4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4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4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4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4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4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4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4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4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4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4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4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4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4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4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4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4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4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4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4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4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4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4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4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4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4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4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4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4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4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4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4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4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4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4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4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4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4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4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4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4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4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4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4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4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4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4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4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4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4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4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4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4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4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4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4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4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4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4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4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4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4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4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4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4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4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4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4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4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4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4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4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4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4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4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4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4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4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4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4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4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4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4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4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4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4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4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4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4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4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4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4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4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4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4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4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4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4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4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4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4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4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4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4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4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4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4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4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4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4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4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4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4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4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4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4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4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4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4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4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4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4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4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4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4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4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4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4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4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4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4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4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4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4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4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4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4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4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4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4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4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4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4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4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4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4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4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4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4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4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4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4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4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4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4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4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4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4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4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4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4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4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4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4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4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4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4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4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4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4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4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4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4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4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4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4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4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4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4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4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4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4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4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4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4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4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4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4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4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4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4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4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4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4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4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4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4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4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4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4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4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4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4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4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4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4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4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4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4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4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4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4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4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4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4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4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4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4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4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4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4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4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4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4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4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4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4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4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4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4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4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4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4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4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4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4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4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4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4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4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4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4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4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4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4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4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4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4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4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4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4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4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4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4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4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4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4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4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4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4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4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4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4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4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4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4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4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4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4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4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4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4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4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4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4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4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4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4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4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4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4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4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4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4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4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4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4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4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4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4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4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4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4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4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4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4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4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4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4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4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4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4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4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4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4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4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4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4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4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4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4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4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4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4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4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4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4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4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4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4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4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4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4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4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4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4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4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4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4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4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4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4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4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4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4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4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4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4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4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4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4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4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4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4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4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4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4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4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4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4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4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4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4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4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4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4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4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4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4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4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4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4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4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4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4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4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4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4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4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4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4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4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4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4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4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4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4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4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4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4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4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4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4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4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4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4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4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4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4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4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4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4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4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4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4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4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4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4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4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4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4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4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4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4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4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4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4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4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4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4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4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4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4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4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4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4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4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4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4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4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4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4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4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4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4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4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4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4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4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4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4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4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4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4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4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4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4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4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4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4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4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4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4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4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4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4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4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4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4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4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4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4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4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4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4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4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4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4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4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4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4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4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4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4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4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4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4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4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4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4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4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4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4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4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4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4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4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4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4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4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4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4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4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4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4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4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4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4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4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4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4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4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4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4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4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4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4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4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4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4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4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4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4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4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4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4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4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4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4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4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4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4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41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41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41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41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B2:D3"/>
    <mergeCell ref="B4:D4"/>
    <mergeCell ref="B5:D5"/>
    <mergeCell ref="B6:C6"/>
    <mergeCell ref="B7:C7"/>
    <mergeCell ref="B8:C8"/>
    <mergeCell ref="B10:C10"/>
  </mergeCells>
  <printOptions/>
  <pageMargins bottom="0.75" footer="0.0" header="0.0" left="0.7" right="0.7" top="0.75"/>
  <pageSetup orientation="portrait"/>
  <drawing r:id="rId1"/>
</worksheet>
</file>